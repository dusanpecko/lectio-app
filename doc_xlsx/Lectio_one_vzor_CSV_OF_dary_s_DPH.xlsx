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E8B5E605-E88C-46B1-8498-F427C64810E9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CSV_OF_dary_DPH" sheetId="1" r:id="rId1"/>
    <sheet name="Popis_poli" sheetId="2" r:id="rId2"/>
    <sheet name="Kontrola_DPH" sheetId="3" r:id="rId3"/>
    <sheet name="Pokyn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E6" i="3"/>
  <c r="F6" i="3" l="1"/>
  <c r="F7" i="3"/>
</calcChain>
</file>

<file path=xl/sharedStrings.xml><?xml version="1.0" encoding="utf-8"?>
<sst xmlns="http://schemas.openxmlformats.org/spreadsheetml/2006/main" count="338" uniqueCount="188">
  <si>
    <t>Vzor CSV importu – OF / dary na Lectio Divina s DPH</t>
  </si>
  <si>
    <t>Tento hárok obsahuje druhú testovaciu sadu pre prípad, že dary budú evidované s DPH. Každá OF je rozdelená na dva účtovné riadky: 1) základ – MD 311 / D 663, 2) DPH – MD 311 / D 343. Kód DPH T23 je pracovný technický vzor a pred ostrým importom ho treba potvrdiť podľa číselníka DPH v účtovnom softvéri.</t>
  </si>
  <si>
    <t>cislo</t>
  </si>
  <si>
    <t>datum</t>
  </si>
  <si>
    <t>popis</t>
  </si>
  <si>
    <t>suma</t>
  </si>
  <si>
    <t>md</t>
  </si>
  <si>
    <t>d</t>
  </si>
  <si>
    <t>c_fa</t>
  </si>
  <si>
    <t>datum_spl</t>
  </si>
  <si>
    <t>partner</t>
  </si>
  <si>
    <t>cbico</t>
  </si>
  <si>
    <t>c_uct</t>
  </si>
  <si>
    <t>str_md</t>
  </si>
  <si>
    <t>str_d</t>
  </si>
  <si>
    <t>zdroj_md</t>
  </si>
  <si>
    <t>zdroj_d</t>
  </si>
  <si>
    <t>proj_md</t>
  </si>
  <si>
    <t>proj_d</t>
  </si>
  <si>
    <t>dat_vyst</t>
  </si>
  <si>
    <t>dat_dph</t>
  </si>
  <si>
    <t>kod</t>
  </si>
  <si>
    <t>mena</t>
  </si>
  <si>
    <t>kv_cast</t>
  </si>
  <si>
    <t>kv_cs</t>
  </si>
  <si>
    <t>kv_mnoz</t>
  </si>
  <si>
    <t>kv_mj</t>
  </si>
  <si>
    <t>kv_cislo</t>
  </si>
  <si>
    <t>kv_cislo_o</t>
  </si>
  <si>
    <t>kv_oprava</t>
  </si>
  <si>
    <t>icdph_sv</t>
  </si>
  <si>
    <t>s_dph</t>
  </si>
  <si>
    <t>OF 2026-101</t>
  </si>
  <si>
    <t>15.07.2026</t>
  </si>
  <si>
    <t>Dar na Lectio Divina - zaklad DPH 23% - Jan Novak</t>
  </si>
  <si>
    <t>100,00</t>
  </si>
  <si>
    <t>311</t>
  </si>
  <si>
    <t>663</t>
  </si>
  <si>
    <t>2026101</t>
  </si>
  <si>
    <t>Jan Novak</t>
  </si>
  <si>
    <t>EUR</t>
  </si>
  <si>
    <t>0</t>
  </si>
  <si>
    <t>Dar na Lectio Divina - DPH 23% - Jan Novak</t>
  </si>
  <si>
    <t>23,00</t>
  </si>
  <si>
    <t>343</t>
  </si>
  <si>
    <t>OF 2026-102</t>
  </si>
  <si>
    <t>16.07.2026</t>
  </si>
  <si>
    <t>Dar na Lectio Divina - zaklad DPH 23% - Maria Kralova</t>
  </si>
  <si>
    <t>40,00</t>
  </si>
  <si>
    <t>2026102</t>
  </si>
  <si>
    <t>Maria Kralova</t>
  </si>
  <si>
    <t>Dar na Lectio Divina - DPH 23% - Maria Kralova</t>
  </si>
  <si>
    <t>9,20</t>
  </si>
  <si>
    <t>Popis polí pre CSV import – Lectio.one, druhá sada s DPH</t>
  </si>
  <si>
    <t>Popis vychádza zo štruktúry denníka. Pre druhú vlnu s DPH je dôležité, aby jedna OF obsahovala samostatný riadok pre základ a samostatný riadok pre DPH. Poradie a názvy stĺpcov v CSV sa nemenia.</t>
  </si>
  <si>
    <t>Stĺpec v CSV</t>
  </si>
  <si>
    <t>Názov poľa</t>
  </si>
  <si>
    <t>Typ</t>
  </si>
  <si>
    <t>Dĺžka</t>
  </si>
  <si>
    <t>Desatinné miesta</t>
  </si>
  <si>
    <t>Povinnosť pre Lectio.one</t>
  </si>
  <si>
    <t>Ako vyplniť pre OF/dary s DPH</t>
  </si>
  <si>
    <t>Príklad</t>
  </si>
  <si>
    <t>Poznámka k DPH</t>
  </si>
  <si>
    <t>Character</t>
  </si>
  <si>
    <t>10</t>
  </si>
  <si>
    <t>Povinné</t>
  </si>
  <si>
    <t>Číslo odoslanej faktúry. Pri základe aj DPH musí byť rovnaké.</t>
  </si>
  <si>
    <t>Rovnaké číslo spojí riadky jednej OF.</t>
  </si>
  <si>
    <t>Date</t>
  </si>
  <si>
    <t>8</t>
  </si>
  <si>
    <t>Dátum účtovného prípadu.</t>
  </si>
  <si>
    <t>Pri OF zvyčajne rovnaký ako dátum vystavenia.</t>
  </si>
  <si>
    <t>50</t>
  </si>
  <si>
    <t>Text jasne rozlíši základ a DPH.</t>
  </si>
  <si>
    <t>Dar na Lectio Divina - DPH 23%</t>
  </si>
  <si>
    <t>Nepoužívať odrážky ani nové riadky.</t>
  </si>
  <si>
    <t>Float</t>
  </si>
  <si>
    <t>13</t>
  </si>
  <si>
    <t>2</t>
  </si>
  <si>
    <t>Suma konkrétneho účtovného riadku. Základ a DPH sa uvádzajú v samostatných riadkoch.</t>
  </si>
  <si>
    <t>100,00 / 23,00</t>
  </si>
  <si>
    <t>Bez znaku meny, v CSV s desatinnou čiarkou.</t>
  </si>
  <si>
    <t>Predvyplnené podľa dohody</t>
  </si>
  <si>
    <t>Účet MD. Pri OF je vo vzore 311.</t>
  </si>
  <si>
    <t>Pri základe aj DPH zostáva 311.</t>
  </si>
  <si>
    <t>Účet DAL. Základ ide na výnosový účet, DPH na účet DPH.</t>
  </si>
  <si>
    <t>663 / 343</t>
  </si>
  <si>
    <t>Účet 663 a kód DPH overíme pred ostrým importom.</t>
  </si>
  <si>
    <t>Odporúčané</t>
  </si>
  <si>
    <t>Variabilný symbol / číslo faktúry bez medzier.</t>
  </si>
  <si>
    <t>Rovnaké pri riadku základu aj DPH.</t>
  </si>
  <si>
    <t>Dátum splatnosti.</t>
  </si>
  <si>
    <t>Môže byť rovnaký ako dátum vystavenia.</t>
  </si>
  <si>
    <t>80</t>
  </si>
  <si>
    <t>Meno darcu / partnera.</t>
  </si>
  <si>
    <t>Bez diakritiky je bezpečnejšie pre CSV import.</t>
  </si>
  <si>
    <t>12</t>
  </si>
  <si>
    <t>Voliteľné</t>
  </si>
  <si>
    <t>IČO partnera, ak existuje.</t>
  </si>
  <si>
    <t>Pri fyzických osobách často prázdne.</t>
  </si>
  <si>
    <t>IČO/identifikátor partnera pre párovanie.</t>
  </si>
  <si>
    <t>Použiť len po dohode.</t>
  </si>
  <si>
    <t>Stredisko MD.</t>
  </si>
  <si>
    <t>Vyplniť len ak budeme účtovať po strediskách.</t>
  </si>
  <si>
    <t>Stredisko DAL.</t>
  </si>
  <si>
    <t>6</t>
  </si>
  <si>
    <t>Zdroj financovania MD.</t>
  </si>
  <si>
    <t>Vyplniť len po dohode.</t>
  </si>
  <si>
    <t>Zdroj financovania DAL.</t>
  </si>
  <si>
    <t>Projekt MD.</t>
  </si>
  <si>
    <t>Projekt DAL.</t>
  </si>
  <si>
    <t>Povinné pri OF</t>
  </si>
  <si>
    <t>Dátum vystavenia faktúry.</t>
  </si>
  <si>
    <t>Rovnaké pri základe aj DPH.</t>
  </si>
  <si>
    <t>Povinné pri DPH</t>
  </si>
  <si>
    <t>Dátum dodania / zdaniteľného plnenia.</t>
  </si>
  <si>
    <t>Dôležité pre DPH obdobie.</t>
  </si>
  <si>
    <t>4</t>
  </si>
  <si>
    <t>Povinné po aktivácii DPH</t>
  </si>
  <si>
    <t>Kód DPH z číselníka účtovného softvéru.</t>
  </si>
  <si>
    <t>T23 je pracovný vzor, nie potvrdený ostrý kód.</t>
  </si>
  <si>
    <t>3</t>
  </si>
  <si>
    <t>Mena dokladu.</t>
  </si>
  <si>
    <t>Vždy EUR, ak sa nedohodne inak.</t>
  </si>
  <si>
    <t>Podľa potreby</t>
  </si>
  <si>
    <t>Časť kontrolného výkazu.</t>
  </si>
  <si>
    <t>Doplniť až podľa nastavenia DPH číselníka.</t>
  </si>
  <si>
    <t>Kód pre výkaz DPH.</t>
  </si>
  <si>
    <t>Technicky vyplnené</t>
  </si>
  <si>
    <t>Množstvo pre KV, ak sa používa.</t>
  </si>
  <si>
    <t>Vo vzore ponechané 0.</t>
  </si>
  <si>
    <t>5</t>
  </si>
  <si>
    <t>Merná jednotka.</t>
  </si>
  <si>
    <t>Pri týchto riadkoch prázdne.</t>
  </si>
  <si>
    <t>32</t>
  </si>
  <si>
    <t>Číslo záznamu pre KV.</t>
  </si>
  <si>
    <t>Číslo opravovaného záznamu.</t>
  </si>
  <si>
    <t>Použiť len pri opravách.</t>
  </si>
  <si>
    <t>1</t>
  </si>
  <si>
    <t>Označenie opravy.</t>
  </si>
  <si>
    <t>Pri bežných riadkoch prázdne.</t>
  </si>
  <si>
    <t>15</t>
  </si>
  <si>
    <t>IČ DPH pri osobitných režimoch.</t>
  </si>
  <si>
    <t>Pri tuzemských daroch spravidla prázdne.</t>
  </si>
  <si>
    <t>Technické pole. V tejto verzii ponechať prázdne, keďže základ a DPH sú v samostatných riadkoch.</t>
  </si>
  <si>
    <t>Použiť len ak si potvrdíme význam poľa v importe.</t>
  </si>
  <si>
    <t>Kontrola príkladu – základ + DPH</t>
  </si>
  <si>
    <t>Táto kontrola ukazuje logiku druhej sady: celková pohľadávka voči darcovi vznikne ako súčet riadku základu a riadku DPH. Hodnoty sú vzorové; účty a kód DPH potvrdíme pri prvom testovacom importe.</t>
  </si>
  <si>
    <t>Partner</t>
  </si>
  <si>
    <t>Základ</t>
  </si>
  <si>
    <t>Sadzba DPH</t>
  </si>
  <si>
    <t>DPH</t>
  </si>
  <si>
    <t>Spolu OF</t>
  </si>
  <si>
    <t>Riadok základu</t>
  </si>
  <si>
    <t>Riadok DPH</t>
  </si>
  <si>
    <t>311 / 663</t>
  </si>
  <si>
    <t>311 / 343</t>
  </si>
  <si>
    <t>Pokyny pre export CSV – verzia s DPH</t>
  </si>
  <si>
    <t>Krok</t>
  </si>
  <si>
    <t>Pokyn</t>
  </si>
  <si>
    <t>Detail</t>
  </si>
  <si>
    <t>Poznámka</t>
  </si>
  <si>
    <t>1.</t>
  </si>
  <si>
    <t>Exportujte iba hárok CSV_OF_dary_DPH.</t>
  </si>
  <si>
    <t>Ostatné hárky sú iba pomôcka a popis.</t>
  </si>
  <si>
    <t>2.</t>
  </si>
  <si>
    <t>Nemeňte názvy ani poradie stĺpcov.</t>
  </si>
  <si>
    <t>Import očakáva presnú štruktúru hlavičky.</t>
  </si>
  <si>
    <t>3.</t>
  </si>
  <si>
    <t>Pri OF s DPH uveďte dva riadky.</t>
  </si>
  <si>
    <t>Riadok základ: MD 311 / D 663. Riadok DPH: MD 311 / D 343.</t>
  </si>
  <si>
    <t>4.</t>
  </si>
  <si>
    <t>Rovnaká OF musí mať rovnaké polia cislo a c_fa.</t>
  </si>
  <si>
    <t>Tak vieme rozpoznať, že základ a DPH patria k jednému dokladu.</t>
  </si>
  <si>
    <t>5.</t>
  </si>
  <si>
    <t>Dátumy uvádzajte vo formáte DD.MM.RRRR.</t>
  </si>
  <si>
    <t>Napríklad 15.07.2026.</t>
  </si>
  <si>
    <t>6.</t>
  </si>
  <si>
    <t>Sumy uvádzajte bez meny a s desatinnou čiarkou.</t>
  </si>
  <si>
    <t>Napríklad 100,00 a 23,00.</t>
  </si>
  <si>
    <t>7.</t>
  </si>
  <si>
    <t>Kód DPH T23 je pracovný vzor.</t>
  </si>
  <si>
    <t>Pred ostrým importom overíme presný kód podľa účtovného softvéru.</t>
  </si>
  <si>
    <t>8.</t>
  </si>
  <si>
    <t>Pred ostrým importom pošlite testovací CSV súbor.</t>
  </si>
  <si>
    <t>Stačí 2 až 3 faktúry, pri každej riadok základ + riadok DPH.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</si>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</sst>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sz val="11"/>
      <color rgb="FF111111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2826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0" fillId="0" borderId="1" xfId="1" applyFont="1" applyBorder="1" applyAlignment="1">
      <alignment vertical="top" wrapText="1"/>
    </xf>
    <xf numFmtId="0" fontId="3" fillId="2" borderId="1" xfId="1" applyFont="1" applyFill="1" applyBorder="1" applyAlignment="1">
      <alignment horizontal="center" vertical="center" wrapText="1"/>
    </xf>
    <xf numFmtId="4" fontId="0" fillId="0" borderId="1" xfId="1" applyNumberFormat="1" applyFont="1" applyBorder="1" applyAlignment="1">
      <alignment vertical="top" wrapText="1"/>
    </xf>
    <xf numFmtId="9" fontId="0" fillId="0" borderId="1" xfId="1" applyNumberFormat="1" applyFont="1" applyBorder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horizontal="left" vertical="top" wrapText="1"/>
    </xf>
    <xf numFmtId="49" fontId="0" fillId="0" borderId="1" xfId="1" applyNumberFormat="1" applyFont="1" applyBorder="1" applyAlignment="1">
      <alignment vertical="top" wrapText="1"/>
    </xf>
  </cellXfs>
  <cellStyles count="2">
    <cellStyle name="Normal" xfId="1" xr:uid="{00000000-0005-0000-0000-000000000000}"/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SV_DPH_Table" displayName="CSV_DPH_Table" ref="A4:AD8">
  <tableColumns count="30">
    <tableColumn id="1" xr3:uid="{00000000-0010-0000-0000-000001000000}" name="cislo"/>
    <tableColumn id="2" xr3:uid="{00000000-0010-0000-0000-000002000000}" name="datum"/>
    <tableColumn id="3" xr3:uid="{00000000-0010-0000-0000-000003000000}" name="popis"/>
    <tableColumn id="4" xr3:uid="{00000000-0010-0000-0000-000004000000}" name="suma"/>
    <tableColumn id="5" xr3:uid="{00000000-0010-0000-0000-000005000000}" name="md"/>
    <tableColumn id="6" xr3:uid="{00000000-0010-0000-0000-000006000000}" name="d"/>
    <tableColumn id="7" xr3:uid="{00000000-0010-0000-0000-000007000000}" name="c_fa"/>
    <tableColumn id="8" xr3:uid="{00000000-0010-0000-0000-000008000000}" name="datum_spl"/>
    <tableColumn id="9" xr3:uid="{00000000-0010-0000-0000-000009000000}" name="partner"/>
    <tableColumn id="10" xr3:uid="{00000000-0010-0000-0000-00000A000000}" name="cbico"/>
    <tableColumn id="11" xr3:uid="{00000000-0010-0000-0000-00000B000000}" name="c_uct"/>
    <tableColumn id="12" xr3:uid="{00000000-0010-0000-0000-00000C000000}" name="str_md"/>
    <tableColumn id="13" xr3:uid="{00000000-0010-0000-0000-00000D000000}" name="str_d"/>
    <tableColumn id="14" xr3:uid="{00000000-0010-0000-0000-00000E000000}" name="zdroj_md"/>
    <tableColumn id="15" xr3:uid="{00000000-0010-0000-0000-00000F000000}" name="zdroj_d"/>
    <tableColumn id="16" xr3:uid="{00000000-0010-0000-0000-000010000000}" name="proj_md"/>
    <tableColumn id="17" xr3:uid="{00000000-0010-0000-0000-000011000000}" name="proj_d"/>
    <tableColumn id="18" xr3:uid="{00000000-0010-0000-0000-000012000000}" name="dat_vyst"/>
    <tableColumn id="19" xr3:uid="{00000000-0010-0000-0000-000013000000}" name="dat_dph"/>
    <tableColumn id="20" xr3:uid="{00000000-0010-0000-0000-000014000000}" name="kod"/>
    <tableColumn id="21" xr3:uid="{00000000-0010-0000-0000-000015000000}" name="mena"/>
    <tableColumn id="22" xr3:uid="{00000000-0010-0000-0000-000016000000}" name="kv_cast"/>
    <tableColumn id="23" xr3:uid="{00000000-0010-0000-0000-000017000000}" name="kv_cs"/>
    <tableColumn id="24" xr3:uid="{00000000-0010-0000-0000-000018000000}" name="kv_mnoz"/>
    <tableColumn id="25" xr3:uid="{00000000-0010-0000-0000-000019000000}" name="kv_mj"/>
    <tableColumn id="26" xr3:uid="{00000000-0010-0000-0000-00001A000000}" name="kv_cislo"/>
    <tableColumn id="27" xr3:uid="{00000000-0010-0000-0000-00001B000000}" name="kv_cislo_o"/>
    <tableColumn id="28" xr3:uid="{00000000-0010-0000-0000-00001C000000}" name="kv_oprava"/>
    <tableColumn id="29" xr3:uid="{00000000-0010-0000-0000-00001D000000}" name="icdph_sv"/>
    <tableColumn id="30" xr3:uid="{00000000-0010-0000-0000-00001E000000}" name="s_dp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eldDesc_DPH_Table" displayName="FieldDesc_DPH_Table" ref="A5:I35">
  <tableColumns count="9">
    <tableColumn id="1" xr3:uid="{00000000-0010-0000-0100-000001000000}" name="Stĺpec v CSV"/>
    <tableColumn id="2" xr3:uid="{00000000-0010-0000-0100-000002000000}" name="Názov poľa"/>
    <tableColumn id="3" xr3:uid="{00000000-0010-0000-0100-000003000000}" name="Typ"/>
    <tableColumn id="4" xr3:uid="{00000000-0010-0000-0100-000004000000}" name="Dĺžka"/>
    <tableColumn id="5" xr3:uid="{00000000-0010-0000-0100-000005000000}" name="Desatinné miesta"/>
    <tableColumn id="6" xr3:uid="{00000000-0010-0000-0100-000006000000}" name="Povinnosť pre Lectio.one"/>
    <tableColumn id="7" xr3:uid="{00000000-0010-0000-0100-000007000000}" name="Ako vyplniť pre OF/dary s DPH"/>
    <tableColumn id="8" xr3:uid="{00000000-0010-0000-0100-000008000000}" name="Príklad"/>
    <tableColumn id="9" xr3:uid="{00000000-0010-0000-0100-000009000000}" name="Poznámka k DP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PH_Control_Table" displayName="DPH_Control_Table" ref="A5:H7">
  <tableColumns count="8">
    <tableColumn id="1" xr3:uid="{00000000-0010-0000-0200-000001000000}" name="c_fa"/>
    <tableColumn id="2" xr3:uid="{00000000-0010-0000-0200-000002000000}" name="Partner"/>
    <tableColumn id="3" xr3:uid="{00000000-0010-0000-0200-000003000000}" name="Základ"/>
    <tableColumn id="4" xr3:uid="{00000000-0010-0000-0200-000004000000}" name="Sadzba DPH"/>
    <tableColumn id="5" xr3:uid="{00000000-0010-0000-0200-000005000000}" name="DPH"/>
    <tableColumn id="6" xr3:uid="{00000000-0010-0000-0200-000006000000}" name="Spolu OF"/>
    <tableColumn id="7" xr3:uid="{00000000-0010-0000-0200-000007000000}" name="Riadok základu"/>
    <tableColumn id="8" xr3:uid="{00000000-0010-0000-0200-000008000000}" name="Riadok DP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structions_DPH_Table" displayName="Instructions_DPH_Table" ref="A3:D11">
  <tableColumns count="4">
    <tableColumn id="1" xr3:uid="{00000000-0010-0000-0300-000001000000}" name="Krok"/>
    <tableColumn id="2" xr3:uid="{00000000-0010-0000-0300-000002000000}" name="Pokyn"/>
    <tableColumn id="3" xr3:uid="{00000000-0010-0000-0300-000003000000}" name="Detail"/>
    <tableColumn id="4" xr3:uid="{00000000-0010-0000-0300-000004000000}" name="Poznámk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"/>
  <sheetViews>
    <sheetView workbookViewId="0">
      <selection activeCell="T7" sqref="T7"/>
    </sheetView>
  </sheetViews>
  <sheetFormatPr defaultRowHeight="14.15"/>
  <cols>
    <col min="1" max="1" width="15" customWidth="1"/>
    <col min="2" max="2" width="12" customWidth="1"/>
    <col min="3" max="3" width="42" customWidth="1"/>
    <col min="4" max="4" width="12" customWidth="1"/>
    <col min="5" max="6" width="10" customWidth="1"/>
    <col min="7" max="7" width="13" customWidth="1"/>
    <col min="8" max="8" width="12" customWidth="1"/>
    <col min="9" max="9" width="24" customWidth="1"/>
    <col min="10" max="11" width="14" customWidth="1"/>
    <col min="12" max="19" width="12" customWidth="1"/>
    <col min="20" max="20" width="10" customWidth="1"/>
    <col min="21" max="21" width="8" customWidth="1"/>
    <col min="22" max="30" width="12" customWidth="1"/>
  </cols>
  <sheetData>
    <row r="1" spans="1:30" ht="16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25.2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25.2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20.0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</row>
    <row r="5" spans="1:30" ht="28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33</v>
      </c>
      <c r="I5" s="1" t="s">
        <v>39</v>
      </c>
      <c r="J5" s="1"/>
      <c r="K5" s="1"/>
      <c r="L5" s="1"/>
      <c r="M5" s="1"/>
      <c r="N5" s="1"/>
      <c r="O5" s="1"/>
      <c r="P5" s="1"/>
      <c r="Q5" s="1"/>
      <c r="R5" s="1" t="s">
        <v>33</v>
      </c>
      <c r="S5" s="1" t="s">
        <v>33</v>
      </c>
      <c r="T5" s="1">
        <v>3</v>
      </c>
      <c r="U5" s="1" t="s">
        <v>40</v>
      </c>
      <c r="V5" s="1"/>
      <c r="W5" s="1"/>
      <c r="X5" s="1" t="s">
        <v>41</v>
      </c>
      <c r="Y5" s="1"/>
      <c r="Z5" s="1"/>
      <c r="AA5" s="1"/>
      <c r="AB5" s="1"/>
      <c r="AC5" s="1"/>
      <c r="AD5" s="1"/>
    </row>
    <row r="6" spans="1:30">
      <c r="A6" s="1" t="s">
        <v>32</v>
      </c>
      <c r="B6" s="1" t="s">
        <v>33</v>
      </c>
      <c r="C6" s="1" t="s">
        <v>42</v>
      </c>
      <c r="D6" s="1" t="s">
        <v>43</v>
      </c>
      <c r="E6" s="1" t="s">
        <v>36</v>
      </c>
      <c r="F6" s="1" t="s">
        <v>44</v>
      </c>
      <c r="G6" s="1" t="s">
        <v>38</v>
      </c>
      <c r="H6" s="1" t="s">
        <v>33</v>
      </c>
      <c r="I6" s="1" t="s">
        <v>39</v>
      </c>
      <c r="J6" s="1"/>
      <c r="K6" s="1"/>
      <c r="L6" s="1"/>
      <c r="M6" s="1"/>
      <c r="N6" s="1"/>
      <c r="O6" s="1"/>
      <c r="P6" s="1"/>
      <c r="Q6" s="1"/>
      <c r="R6" s="1" t="s">
        <v>33</v>
      </c>
      <c r="S6" s="1" t="s">
        <v>33</v>
      </c>
      <c r="T6" s="1" t="s">
        <v>187</v>
      </c>
      <c r="U6" s="1" t="s">
        <v>40</v>
      </c>
      <c r="V6" s="1"/>
      <c r="W6" s="1"/>
      <c r="X6" s="1" t="s">
        <v>41</v>
      </c>
      <c r="Y6" s="1"/>
      <c r="Z6" s="1"/>
      <c r="AA6" s="1"/>
      <c r="AB6" s="1"/>
      <c r="AC6" s="1"/>
      <c r="AD6" s="1"/>
    </row>
    <row r="7" spans="1:30" ht="28.3">
      <c r="A7" s="1" t="s">
        <v>45</v>
      </c>
      <c r="B7" s="1" t="s">
        <v>46</v>
      </c>
      <c r="C7" s="1" t="s">
        <v>47</v>
      </c>
      <c r="D7" s="1" t="s">
        <v>48</v>
      </c>
      <c r="E7" s="1" t="s">
        <v>36</v>
      </c>
      <c r="F7" s="1" t="s">
        <v>37</v>
      </c>
      <c r="G7" s="1" t="s">
        <v>49</v>
      </c>
      <c r="H7" s="1" t="s">
        <v>46</v>
      </c>
      <c r="I7" s="1" t="s">
        <v>50</v>
      </c>
      <c r="J7" s="1"/>
      <c r="K7" s="1"/>
      <c r="L7" s="1"/>
      <c r="M7" s="1"/>
      <c r="N7" s="1"/>
      <c r="O7" s="1"/>
      <c r="P7" s="1"/>
      <c r="Q7" s="1"/>
      <c r="R7" s="1" t="s">
        <v>46</v>
      </c>
      <c r="S7" s="1" t="s">
        <v>46</v>
      </c>
      <c r="T7" s="1">
        <v>3</v>
      </c>
      <c r="U7" s="1" t="s">
        <v>40</v>
      </c>
      <c r="V7" s="1"/>
      <c r="W7" s="1"/>
      <c r="X7" s="1" t="s">
        <v>41</v>
      </c>
      <c r="Y7" s="1"/>
      <c r="Z7" s="1"/>
      <c r="AA7" s="1"/>
      <c r="AB7" s="1"/>
      <c r="AC7" s="1"/>
      <c r="AD7" s="1"/>
    </row>
    <row r="8" spans="1:30">
      <c r="A8" s="1" t="s">
        <v>45</v>
      </c>
      <c r="B8" s="1" t="s">
        <v>46</v>
      </c>
      <c r="C8" s="1" t="s">
        <v>51</v>
      </c>
      <c r="D8" s="1" t="s">
        <v>52</v>
      </c>
      <c r="E8" s="1" t="s">
        <v>36</v>
      </c>
      <c r="F8" s="1" t="s">
        <v>44</v>
      </c>
      <c r="G8" s="1" t="s">
        <v>49</v>
      </c>
      <c r="H8" s="1" t="s">
        <v>46</v>
      </c>
      <c r="I8" s="1" t="s">
        <v>50</v>
      </c>
      <c r="J8" s="1"/>
      <c r="K8" s="1"/>
      <c r="L8" s="1"/>
      <c r="M8" s="1"/>
      <c r="N8" s="1"/>
      <c r="O8" s="1"/>
      <c r="P8" s="1"/>
      <c r="Q8" s="1"/>
      <c r="R8" s="1" t="s">
        <v>46</v>
      </c>
      <c r="S8" s="1" t="s">
        <v>46</v>
      </c>
      <c r="T8" s="1" t="s">
        <v>187</v>
      </c>
      <c r="U8" s="1" t="s">
        <v>40</v>
      </c>
      <c r="V8" s="1"/>
      <c r="W8" s="1"/>
      <c r="X8" s="1" t="s">
        <v>41</v>
      </c>
      <c r="Y8" s="1"/>
      <c r="Z8" s="1"/>
      <c r="AA8" s="1"/>
      <c r="AB8" s="1"/>
      <c r="AC8" s="1"/>
      <c r="AD8" s="1"/>
    </row>
  </sheetData>
  <mergeCells count="2">
    <mergeCell ref="A1:AD1"/>
    <mergeCell ref="A2:AD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workbookViewId="0">
      <selection sqref="A1:I1"/>
    </sheetView>
  </sheetViews>
  <sheetFormatPr defaultRowHeight="14.15"/>
  <cols>
    <col min="1" max="1" width="12" customWidth="1"/>
    <col min="2" max="2" width="15" customWidth="1"/>
    <col min="3" max="3" width="12" customWidth="1"/>
    <col min="4" max="4" width="9" customWidth="1"/>
    <col min="5" max="5" width="11" customWidth="1"/>
    <col min="6" max="6" width="20" customWidth="1"/>
    <col min="7" max="7" width="38" customWidth="1"/>
    <col min="8" max="8" width="18" customWidth="1"/>
    <col min="9" max="9" width="36" customWidth="1"/>
  </cols>
  <sheetData>
    <row r="1" spans="1:9" ht="16" customHeight="1">
      <c r="A1" s="5" t="s">
        <v>53</v>
      </c>
      <c r="B1" s="5"/>
      <c r="C1" s="5"/>
      <c r="D1" s="5"/>
      <c r="E1" s="5"/>
      <c r="F1" s="5"/>
      <c r="G1" s="5"/>
      <c r="H1" s="5"/>
      <c r="I1" s="5"/>
    </row>
    <row r="2" spans="1:9">
      <c r="A2" s="6" t="s">
        <v>54</v>
      </c>
      <c r="B2" s="6"/>
      <c r="C2" s="6"/>
      <c r="D2" s="6"/>
      <c r="E2" s="6"/>
      <c r="F2" s="6"/>
      <c r="G2" s="6"/>
      <c r="H2" s="6"/>
      <c r="I2" s="6"/>
    </row>
    <row r="3" spans="1:9">
      <c r="A3" s="6"/>
      <c r="B3" s="6"/>
      <c r="C3" s="6"/>
      <c r="D3" s="6"/>
      <c r="E3" s="6"/>
      <c r="F3" s="6"/>
      <c r="G3" s="6"/>
      <c r="H3" s="6"/>
      <c r="I3" s="6"/>
    </row>
    <row r="5" spans="1:9" ht="28.3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</row>
    <row r="6" spans="1:9" ht="28.3">
      <c r="A6" s="1">
        <v>1</v>
      </c>
      <c r="B6" s="1" t="s">
        <v>2</v>
      </c>
      <c r="C6" s="1" t="s">
        <v>64</v>
      </c>
      <c r="D6" s="1" t="s">
        <v>65</v>
      </c>
      <c r="E6" s="1"/>
      <c r="F6" s="1" t="s">
        <v>66</v>
      </c>
      <c r="G6" s="1" t="s">
        <v>67</v>
      </c>
      <c r="H6" s="1" t="s">
        <v>32</v>
      </c>
      <c r="I6" s="1" t="s">
        <v>68</v>
      </c>
    </row>
    <row r="7" spans="1:9" ht="28.3">
      <c r="A7" s="1">
        <v>2</v>
      </c>
      <c r="B7" s="1" t="s">
        <v>3</v>
      </c>
      <c r="C7" s="1" t="s">
        <v>69</v>
      </c>
      <c r="D7" s="1" t="s">
        <v>70</v>
      </c>
      <c r="E7" s="1"/>
      <c r="F7" s="1" t="s">
        <v>66</v>
      </c>
      <c r="G7" s="1" t="s">
        <v>71</v>
      </c>
      <c r="H7" s="1" t="s">
        <v>33</v>
      </c>
      <c r="I7" s="1" t="s">
        <v>72</v>
      </c>
    </row>
    <row r="8" spans="1:9" ht="28.3">
      <c r="A8" s="1">
        <v>3</v>
      </c>
      <c r="B8" s="1" t="s">
        <v>4</v>
      </c>
      <c r="C8" s="1" t="s">
        <v>64</v>
      </c>
      <c r="D8" s="1" t="s">
        <v>73</v>
      </c>
      <c r="E8" s="1"/>
      <c r="F8" s="1" t="s">
        <v>66</v>
      </c>
      <c r="G8" s="1" t="s">
        <v>74</v>
      </c>
      <c r="H8" s="1" t="s">
        <v>75</v>
      </c>
      <c r="I8" s="1" t="s">
        <v>76</v>
      </c>
    </row>
    <row r="9" spans="1:9" ht="42.45">
      <c r="A9" s="1">
        <v>4</v>
      </c>
      <c r="B9" s="1" t="s">
        <v>5</v>
      </c>
      <c r="C9" s="1" t="s">
        <v>77</v>
      </c>
      <c r="D9" s="1" t="s">
        <v>78</v>
      </c>
      <c r="E9" s="1" t="s">
        <v>79</v>
      </c>
      <c r="F9" s="1" t="s">
        <v>66</v>
      </c>
      <c r="G9" s="1" t="s">
        <v>80</v>
      </c>
      <c r="H9" s="1" t="s">
        <v>81</v>
      </c>
      <c r="I9" s="1" t="s">
        <v>82</v>
      </c>
    </row>
    <row r="10" spans="1:9" ht="28.3">
      <c r="A10" s="1">
        <v>5</v>
      </c>
      <c r="B10" s="1" t="s">
        <v>6</v>
      </c>
      <c r="C10" s="1" t="s">
        <v>64</v>
      </c>
      <c r="D10" s="1" t="s">
        <v>65</v>
      </c>
      <c r="E10" s="1"/>
      <c r="F10" s="1" t="s">
        <v>83</v>
      </c>
      <c r="G10" s="1" t="s">
        <v>84</v>
      </c>
      <c r="H10" s="1" t="s">
        <v>36</v>
      </c>
      <c r="I10" s="1" t="s">
        <v>85</v>
      </c>
    </row>
    <row r="11" spans="1:9" ht="28.3">
      <c r="A11" s="1">
        <v>6</v>
      </c>
      <c r="B11" s="1" t="s">
        <v>7</v>
      </c>
      <c r="C11" s="1" t="s">
        <v>64</v>
      </c>
      <c r="D11" s="1" t="s">
        <v>65</v>
      </c>
      <c r="E11" s="1"/>
      <c r="F11" s="1" t="s">
        <v>83</v>
      </c>
      <c r="G11" s="1" t="s">
        <v>86</v>
      </c>
      <c r="H11" s="1" t="s">
        <v>87</v>
      </c>
      <c r="I11" s="1" t="s">
        <v>88</v>
      </c>
    </row>
    <row r="12" spans="1:9" ht="28.3">
      <c r="A12" s="1">
        <v>7</v>
      </c>
      <c r="B12" s="1" t="s">
        <v>8</v>
      </c>
      <c r="C12" s="1" t="s">
        <v>64</v>
      </c>
      <c r="D12" s="1" t="s">
        <v>78</v>
      </c>
      <c r="E12" s="1"/>
      <c r="F12" s="1" t="s">
        <v>89</v>
      </c>
      <c r="G12" s="1" t="s">
        <v>90</v>
      </c>
      <c r="H12" s="1" t="s">
        <v>38</v>
      </c>
      <c r="I12" s="1" t="s">
        <v>91</v>
      </c>
    </row>
    <row r="13" spans="1:9">
      <c r="A13" s="1">
        <v>8</v>
      </c>
      <c r="B13" s="1" t="s">
        <v>9</v>
      </c>
      <c r="C13" s="1" t="s">
        <v>69</v>
      </c>
      <c r="D13" s="1" t="s">
        <v>70</v>
      </c>
      <c r="E13" s="1"/>
      <c r="F13" s="1" t="s">
        <v>89</v>
      </c>
      <c r="G13" s="1" t="s">
        <v>92</v>
      </c>
      <c r="H13" s="1" t="s">
        <v>33</v>
      </c>
      <c r="I13" s="1" t="s">
        <v>93</v>
      </c>
    </row>
    <row r="14" spans="1:9" ht="28.3">
      <c r="A14" s="1">
        <v>9</v>
      </c>
      <c r="B14" s="1" t="s">
        <v>10</v>
      </c>
      <c r="C14" s="1" t="s">
        <v>64</v>
      </c>
      <c r="D14" s="1" t="s">
        <v>94</v>
      </c>
      <c r="E14" s="1"/>
      <c r="F14" s="1" t="s">
        <v>89</v>
      </c>
      <c r="G14" s="1" t="s">
        <v>95</v>
      </c>
      <c r="H14" s="1" t="s">
        <v>39</v>
      </c>
      <c r="I14" s="1" t="s">
        <v>96</v>
      </c>
    </row>
    <row r="15" spans="1:9">
      <c r="A15" s="1">
        <v>10</v>
      </c>
      <c r="B15" s="1" t="s">
        <v>11</v>
      </c>
      <c r="C15" s="1" t="s">
        <v>64</v>
      </c>
      <c r="D15" s="1" t="s">
        <v>97</v>
      </c>
      <c r="E15" s="1"/>
      <c r="F15" s="1" t="s">
        <v>98</v>
      </c>
      <c r="G15" s="1" t="s">
        <v>99</v>
      </c>
      <c r="H15" s="1"/>
      <c r="I15" s="1" t="s">
        <v>100</v>
      </c>
    </row>
    <row r="16" spans="1:9">
      <c r="A16" s="1">
        <v>11</v>
      </c>
      <c r="B16" s="1" t="s">
        <v>12</v>
      </c>
      <c r="C16" s="1" t="s">
        <v>64</v>
      </c>
      <c r="D16" s="1" t="s">
        <v>94</v>
      </c>
      <c r="E16" s="1"/>
      <c r="F16" s="1" t="s">
        <v>98</v>
      </c>
      <c r="G16" s="1" t="s">
        <v>101</v>
      </c>
      <c r="H16" s="1"/>
      <c r="I16" s="1" t="s">
        <v>102</v>
      </c>
    </row>
    <row r="17" spans="1:9" ht="28.3">
      <c r="A17" s="1">
        <v>12</v>
      </c>
      <c r="B17" s="1" t="s">
        <v>13</v>
      </c>
      <c r="C17" s="1" t="s">
        <v>64</v>
      </c>
      <c r="D17" s="1" t="s">
        <v>65</v>
      </c>
      <c r="E17" s="1"/>
      <c r="F17" s="1" t="s">
        <v>98</v>
      </c>
      <c r="G17" s="1" t="s">
        <v>103</v>
      </c>
      <c r="H17" s="1"/>
      <c r="I17" s="1" t="s">
        <v>104</v>
      </c>
    </row>
    <row r="18" spans="1:9" ht="28.3">
      <c r="A18" s="1">
        <v>13</v>
      </c>
      <c r="B18" s="1" t="s">
        <v>14</v>
      </c>
      <c r="C18" s="1" t="s">
        <v>64</v>
      </c>
      <c r="D18" s="1" t="s">
        <v>65</v>
      </c>
      <c r="E18" s="1"/>
      <c r="F18" s="1" t="s">
        <v>98</v>
      </c>
      <c r="G18" s="1" t="s">
        <v>105</v>
      </c>
      <c r="H18" s="1"/>
      <c r="I18" s="1" t="s">
        <v>104</v>
      </c>
    </row>
    <row r="19" spans="1:9">
      <c r="A19" s="1">
        <v>14</v>
      </c>
      <c r="B19" s="1" t="s">
        <v>15</v>
      </c>
      <c r="C19" s="1" t="s">
        <v>64</v>
      </c>
      <c r="D19" s="1" t="s">
        <v>106</v>
      </c>
      <c r="E19" s="1"/>
      <c r="F19" s="1" t="s">
        <v>98</v>
      </c>
      <c r="G19" s="1" t="s">
        <v>107</v>
      </c>
      <c r="H19" s="1"/>
      <c r="I19" s="1" t="s">
        <v>108</v>
      </c>
    </row>
    <row r="20" spans="1:9">
      <c r="A20" s="1">
        <v>15</v>
      </c>
      <c r="B20" s="1" t="s">
        <v>16</v>
      </c>
      <c r="C20" s="1" t="s">
        <v>64</v>
      </c>
      <c r="D20" s="1" t="s">
        <v>106</v>
      </c>
      <c r="E20" s="1"/>
      <c r="F20" s="1" t="s">
        <v>98</v>
      </c>
      <c r="G20" s="1" t="s">
        <v>109</v>
      </c>
      <c r="H20" s="1"/>
      <c r="I20" s="1" t="s">
        <v>108</v>
      </c>
    </row>
    <row r="21" spans="1:9">
      <c r="A21" s="1">
        <v>16</v>
      </c>
      <c r="B21" s="1" t="s">
        <v>17</v>
      </c>
      <c r="C21" s="1" t="s">
        <v>64</v>
      </c>
      <c r="D21" s="1" t="s">
        <v>106</v>
      </c>
      <c r="E21" s="1"/>
      <c r="F21" s="1" t="s">
        <v>98</v>
      </c>
      <c r="G21" s="1" t="s">
        <v>110</v>
      </c>
      <c r="H21" s="1"/>
      <c r="I21" s="1" t="s">
        <v>108</v>
      </c>
    </row>
    <row r="22" spans="1:9">
      <c r="A22" s="1">
        <v>17</v>
      </c>
      <c r="B22" s="1" t="s">
        <v>18</v>
      </c>
      <c r="C22" s="1" t="s">
        <v>64</v>
      </c>
      <c r="D22" s="1" t="s">
        <v>106</v>
      </c>
      <c r="E22" s="1"/>
      <c r="F22" s="1" t="s">
        <v>98</v>
      </c>
      <c r="G22" s="1" t="s">
        <v>111</v>
      </c>
      <c r="H22" s="1"/>
      <c r="I22" s="1" t="s">
        <v>108</v>
      </c>
    </row>
    <row r="23" spans="1:9">
      <c r="A23" s="1">
        <v>18</v>
      </c>
      <c r="B23" s="1" t="s">
        <v>19</v>
      </c>
      <c r="C23" s="1" t="s">
        <v>69</v>
      </c>
      <c r="D23" s="1" t="s">
        <v>70</v>
      </c>
      <c r="E23" s="1"/>
      <c r="F23" s="1" t="s">
        <v>112</v>
      </c>
      <c r="G23" s="1" t="s">
        <v>113</v>
      </c>
      <c r="H23" s="1" t="s">
        <v>33</v>
      </c>
      <c r="I23" s="1" t="s">
        <v>114</v>
      </c>
    </row>
    <row r="24" spans="1:9">
      <c r="A24" s="1">
        <v>19</v>
      </c>
      <c r="B24" s="1" t="s">
        <v>20</v>
      </c>
      <c r="C24" s="1" t="s">
        <v>69</v>
      </c>
      <c r="D24" s="1" t="s">
        <v>70</v>
      </c>
      <c r="E24" s="1"/>
      <c r="F24" s="1" t="s">
        <v>115</v>
      </c>
      <c r="G24" s="1" t="s">
        <v>116</v>
      </c>
      <c r="H24" s="1" t="s">
        <v>33</v>
      </c>
      <c r="I24" s="1" t="s">
        <v>117</v>
      </c>
    </row>
    <row r="25" spans="1:9" ht="28.3">
      <c r="A25" s="1">
        <v>20</v>
      </c>
      <c r="B25" s="1" t="s">
        <v>21</v>
      </c>
      <c r="C25" s="1" t="s">
        <v>64</v>
      </c>
      <c r="D25" s="1" t="s">
        <v>118</v>
      </c>
      <c r="E25" s="1"/>
      <c r="F25" s="1" t="s">
        <v>119</v>
      </c>
      <c r="G25" s="1" t="s">
        <v>120</v>
      </c>
      <c r="H25" s="7">
        <v>3</v>
      </c>
      <c r="I25" s="1" t="s">
        <v>121</v>
      </c>
    </row>
    <row r="26" spans="1:9">
      <c r="A26" s="1">
        <v>21</v>
      </c>
      <c r="B26" s="1" t="s">
        <v>22</v>
      </c>
      <c r="C26" s="1" t="s">
        <v>64</v>
      </c>
      <c r="D26" s="1" t="s">
        <v>122</v>
      </c>
      <c r="E26" s="1"/>
      <c r="F26" s="1" t="s">
        <v>66</v>
      </c>
      <c r="G26" s="1" t="s">
        <v>123</v>
      </c>
      <c r="H26" s="7" t="s">
        <v>40</v>
      </c>
      <c r="I26" s="1" t="s">
        <v>124</v>
      </c>
    </row>
    <row r="27" spans="1:9" ht="28.3">
      <c r="A27" s="1">
        <v>22</v>
      </c>
      <c r="B27" s="1" t="s">
        <v>23</v>
      </c>
      <c r="C27" s="1" t="s">
        <v>64</v>
      </c>
      <c r="D27" s="1" t="s">
        <v>118</v>
      </c>
      <c r="E27" s="1"/>
      <c r="F27" s="1" t="s">
        <v>125</v>
      </c>
      <c r="G27" s="1" t="s">
        <v>126</v>
      </c>
      <c r="H27" s="1"/>
      <c r="I27" s="1" t="s">
        <v>127</v>
      </c>
    </row>
    <row r="28" spans="1:9" ht="28.3">
      <c r="A28" s="1">
        <v>23</v>
      </c>
      <c r="B28" s="1" t="s">
        <v>24</v>
      </c>
      <c r="C28" s="1" t="s">
        <v>64</v>
      </c>
      <c r="D28" s="1" t="s">
        <v>118</v>
      </c>
      <c r="E28" s="1"/>
      <c r="F28" s="1" t="s">
        <v>125</v>
      </c>
      <c r="G28" s="1" t="s">
        <v>128</v>
      </c>
      <c r="H28" s="1"/>
      <c r="I28" s="1" t="s">
        <v>127</v>
      </c>
    </row>
    <row r="29" spans="1:9">
      <c r="A29" s="1">
        <v>24</v>
      </c>
      <c r="B29" s="1" t="s">
        <v>25</v>
      </c>
      <c r="C29" s="1" t="s">
        <v>77</v>
      </c>
      <c r="D29" s="1" t="s">
        <v>78</v>
      </c>
      <c r="E29" s="1" t="s">
        <v>122</v>
      </c>
      <c r="F29" s="1" t="s">
        <v>129</v>
      </c>
      <c r="G29" s="1" t="s">
        <v>130</v>
      </c>
      <c r="H29" s="1" t="s">
        <v>41</v>
      </c>
      <c r="I29" s="1" t="s">
        <v>131</v>
      </c>
    </row>
    <row r="30" spans="1:9">
      <c r="A30" s="1">
        <v>25</v>
      </c>
      <c r="B30" s="1" t="s">
        <v>26</v>
      </c>
      <c r="C30" s="1" t="s">
        <v>64</v>
      </c>
      <c r="D30" s="1" t="s">
        <v>132</v>
      </c>
      <c r="E30" s="1"/>
      <c r="F30" s="1" t="s">
        <v>98</v>
      </c>
      <c r="G30" s="1" t="s">
        <v>133</v>
      </c>
      <c r="H30" s="1"/>
      <c r="I30" s="1" t="s">
        <v>134</v>
      </c>
    </row>
    <row r="31" spans="1:9">
      <c r="A31" s="1">
        <v>26</v>
      </c>
      <c r="B31" s="1" t="s">
        <v>27</v>
      </c>
      <c r="C31" s="1" t="s">
        <v>64</v>
      </c>
      <c r="D31" s="1" t="s">
        <v>135</v>
      </c>
      <c r="E31" s="1"/>
      <c r="F31" s="1" t="s">
        <v>98</v>
      </c>
      <c r="G31" s="1" t="s">
        <v>136</v>
      </c>
      <c r="H31" s="1"/>
      <c r="I31" s="1" t="s">
        <v>102</v>
      </c>
    </row>
    <row r="32" spans="1:9">
      <c r="A32" s="1">
        <v>27</v>
      </c>
      <c r="B32" s="1" t="s">
        <v>28</v>
      </c>
      <c r="C32" s="1" t="s">
        <v>64</v>
      </c>
      <c r="D32" s="1" t="s">
        <v>135</v>
      </c>
      <c r="E32" s="1"/>
      <c r="F32" s="1" t="s">
        <v>98</v>
      </c>
      <c r="G32" s="1" t="s">
        <v>137</v>
      </c>
      <c r="H32" s="1"/>
      <c r="I32" s="1" t="s">
        <v>138</v>
      </c>
    </row>
    <row r="33" spans="1:9">
      <c r="A33" s="1">
        <v>28</v>
      </c>
      <c r="B33" s="1" t="s">
        <v>29</v>
      </c>
      <c r="C33" s="1" t="s">
        <v>64</v>
      </c>
      <c r="D33" s="1" t="s">
        <v>139</v>
      </c>
      <c r="E33" s="1"/>
      <c r="F33" s="1" t="s">
        <v>98</v>
      </c>
      <c r="G33" s="1" t="s">
        <v>140</v>
      </c>
      <c r="H33" s="1"/>
      <c r="I33" s="1" t="s">
        <v>141</v>
      </c>
    </row>
    <row r="34" spans="1:9">
      <c r="A34" s="1">
        <v>29</v>
      </c>
      <c r="B34" s="1" t="s">
        <v>30</v>
      </c>
      <c r="C34" s="1" t="s">
        <v>64</v>
      </c>
      <c r="D34" s="1" t="s">
        <v>142</v>
      </c>
      <c r="E34" s="1"/>
      <c r="F34" s="1" t="s">
        <v>98</v>
      </c>
      <c r="G34" s="1" t="s">
        <v>143</v>
      </c>
      <c r="H34" s="1"/>
      <c r="I34" s="1" t="s">
        <v>144</v>
      </c>
    </row>
    <row r="35" spans="1:9" ht="42.45">
      <c r="A35" s="1">
        <v>30</v>
      </c>
      <c r="B35" s="1" t="s">
        <v>31</v>
      </c>
      <c r="C35" s="1" t="s">
        <v>64</v>
      </c>
      <c r="D35" s="1"/>
      <c r="E35" s="1"/>
      <c r="F35" s="1" t="s">
        <v>98</v>
      </c>
      <c r="G35" s="1" t="s">
        <v>145</v>
      </c>
      <c r="H35" s="1"/>
      <c r="I35" s="1" t="s">
        <v>146</v>
      </c>
    </row>
  </sheetData>
  <mergeCells count="2">
    <mergeCell ref="A1:I1"/>
    <mergeCell ref="A2:I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defaultRowHeight="14.15"/>
  <cols>
    <col min="1" max="1" width="14" customWidth="1"/>
    <col min="2" max="2" width="22" customWidth="1"/>
    <col min="3" max="6" width="14" customWidth="1"/>
    <col min="7" max="8" width="18" customWidth="1"/>
  </cols>
  <sheetData>
    <row r="1" spans="1:8" ht="16" customHeight="1">
      <c r="A1" s="5" t="s">
        <v>147</v>
      </c>
      <c r="B1" s="5"/>
      <c r="C1" s="5"/>
      <c r="D1" s="5"/>
      <c r="E1" s="5"/>
      <c r="F1" s="5"/>
      <c r="G1" s="5"/>
      <c r="H1" s="5"/>
    </row>
    <row r="2" spans="1:8">
      <c r="A2" s="6" t="s">
        <v>148</v>
      </c>
      <c r="B2" s="6"/>
      <c r="C2" s="6"/>
      <c r="D2" s="6"/>
      <c r="E2" s="6"/>
      <c r="F2" s="6"/>
      <c r="G2" s="6"/>
      <c r="H2" s="6"/>
    </row>
    <row r="3" spans="1:8">
      <c r="A3" s="6"/>
      <c r="B3" s="6"/>
      <c r="C3" s="6"/>
      <c r="D3" s="6"/>
      <c r="E3" s="6"/>
      <c r="F3" s="6"/>
      <c r="G3" s="6"/>
      <c r="H3" s="6"/>
    </row>
    <row r="5" spans="1:8">
      <c r="A5" s="2" t="s">
        <v>8</v>
      </c>
      <c r="B5" s="2" t="s">
        <v>149</v>
      </c>
      <c r="C5" s="2" t="s">
        <v>150</v>
      </c>
      <c r="D5" s="2" t="s">
        <v>151</v>
      </c>
      <c r="E5" s="2" t="s">
        <v>152</v>
      </c>
      <c r="F5" s="2" t="s">
        <v>153</v>
      </c>
      <c r="G5" s="2" t="s">
        <v>154</v>
      </c>
      <c r="H5" s="2" t="s">
        <v>155</v>
      </c>
    </row>
    <row r="6" spans="1:8">
      <c r="A6" s="1" t="s">
        <v>38</v>
      </c>
      <c r="B6" s="1" t="s">
        <v>39</v>
      </c>
      <c r="C6" s="3">
        <v>100</v>
      </c>
      <c r="D6" s="4">
        <v>0.23</v>
      </c>
      <c r="E6" s="3">
        <f>C6*D6</f>
        <v>23</v>
      </c>
      <c r="F6" s="3">
        <f>C6+E6</f>
        <v>123</v>
      </c>
      <c r="G6" s="1" t="s">
        <v>156</v>
      </c>
      <c r="H6" s="1" t="s">
        <v>157</v>
      </c>
    </row>
    <row r="7" spans="1:8">
      <c r="A7" s="1" t="s">
        <v>49</v>
      </c>
      <c r="B7" s="1" t="s">
        <v>50</v>
      </c>
      <c r="C7" s="3">
        <v>40</v>
      </c>
      <c r="D7" s="4">
        <v>0.23</v>
      </c>
      <c r="E7" s="3">
        <f>C7*D7</f>
        <v>9.2000000000000011</v>
      </c>
      <c r="F7" s="3">
        <f>C7+E7</f>
        <v>49.2</v>
      </c>
      <c r="G7" s="1" t="s">
        <v>156</v>
      </c>
      <c r="H7" s="1" t="s">
        <v>157</v>
      </c>
    </row>
  </sheetData>
  <mergeCells count="2">
    <mergeCell ref="A1:H1"/>
    <mergeCell ref="A2:H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15"/>
  <cols>
    <col min="1" max="1" width="8" customWidth="1"/>
    <col min="2" max="2" width="38" customWidth="1"/>
    <col min="3" max="3" width="55" customWidth="1"/>
    <col min="4" max="4" width="20" customWidth="1"/>
  </cols>
  <sheetData>
    <row r="1" spans="1:4" ht="17.600000000000001">
      <c r="A1" s="5" t="s">
        <v>158</v>
      </c>
      <c r="B1" s="5"/>
      <c r="C1" s="5"/>
      <c r="D1" s="5"/>
    </row>
    <row r="3" spans="1:4">
      <c r="A3" s="2" t="s">
        <v>159</v>
      </c>
      <c r="B3" s="2" t="s">
        <v>160</v>
      </c>
      <c r="C3" s="2" t="s">
        <v>161</v>
      </c>
      <c r="D3" s="2" t="s">
        <v>162</v>
      </c>
    </row>
    <row r="4" spans="1:4">
      <c r="A4" s="1" t="s">
        <v>163</v>
      </c>
      <c r="B4" s="1" t="s">
        <v>164</v>
      </c>
      <c r="C4" s="1" t="s">
        <v>165</v>
      </c>
      <c r="D4" s="1"/>
    </row>
    <row r="5" spans="1:4">
      <c r="A5" s="1" t="s">
        <v>166</v>
      </c>
      <c r="B5" s="1" t="s">
        <v>167</v>
      </c>
      <c r="C5" s="1" t="s">
        <v>168</v>
      </c>
      <c r="D5" s="1"/>
    </row>
    <row r="6" spans="1:4">
      <c r="A6" s="1" t="s">
        <v>169</v>
      </c>
      <c r="B6" s="1" t="s">
        <v>170</v>
      </c>
      <c r="C6" s="1" t="s">
        <v>171</v>
      </c>
      <c r="D6" s="1"/>
    </row>
    <row r="7" spans="1:4" ht="28.3">
      <c r="A7" s="1" t="s">
        <v>172</v>
      </c>
      <c r="B7" s="1" t="s">
        <v>173</v>
      </c>
      <c r="C7" s="1" t="s">
        <v>174</v>
      </c>
      <c r="D7" s="1"/>
    </row>
    <row r="8" spans="1:4" ht="28.3">
      <c r="A8" s="1" t="s">
        <v>175</v>
      </c>
      <c r="B8" s="1" t="s">
        <v>176</v>
      </c>
      <c r="C8" s="1" t="s">
        <v>177</v>
      </c>
      <c r="D8" s="1"/>
    </row>
    <row r="9" spans="1:4" ht="28.3">
      <c r="A9" s="1" t="s">
        <v>178</v>
      </c>
      <c r="B9" s="1" t="s">
        <v>179</v>
      </c>
      <c r="C9" s="1" t="s">
        <v>180</v>
      </c>
      <c r="D9" s="1"/>
    </row>
    <row r="10" spans="1:4" ht="28.3">
      <c r="A10" s="1" t="s">
        <v>181</v>
      </c>
      <c r="B10" s="1" t="s">
        <v>182</v>
      </c>
      <c r="C10" s="1" t="s">
        <v>183</v>
      </c>
      <c r="D10" s="1"/>
    </row>
    <row r="11" spans="1:4" ht="28.3">
      <c r="A11" s="1" t="s">
        <v>184</v>
      </c>
      <c r="B11" s="1" t="s">
        <v>185</v>
      </c>
      <c r="C11" s="1" t="s">
        <v>186</v>
      </c>
      <c r="D11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4</vt:i4>
      </vt:variant>
    </vt:vector>
  </HeadingPairs>
  <TitlesOfParts>
    <vt:vector size="4" baseType="lpstr">
      <vt:lpstr>CSV_OF_dary_DPH</vt:lpstr>
      <vt:lpstr>Popis_poli</vt:lpstr>
      <vt:lpstr>Kontrola_DPH</vt:lpstr>
      <vt:lpstr>Pokyny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 Vereš</cp:lastModifiedBy>
  <dcterms:modified xsi:type="dcterms:W3CDTF">2026-06-03T11:19:13Z</dcterms:modified>
</cp:coreProperties>
</file>